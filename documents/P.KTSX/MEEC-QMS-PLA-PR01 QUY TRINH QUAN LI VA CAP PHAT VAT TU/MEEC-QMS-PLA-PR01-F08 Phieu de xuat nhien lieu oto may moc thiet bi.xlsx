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D:\VẬT TƯ - VĂN PHÒNG PHẨM - MẪU ĐƠN\7. MEEC-QMS-PLA-PR01 QUY TRINH QUAN LI VA CAP PHAT VAT TU\"/>
    </mc:Choice>
  </mc:AlternateContent>
  <xr:revisionPtr revIDLastSave="0" documentId="13_ncr:1_{B8FB6497-1495-4101-B20B-4EAEAC49C643}" xr6:coauthVersionLast="47" xr6:coauthVersionMax="47" xr10:uidLastSave="{00000000-0000-0000-0000-000000000000}"/>
  <bookViews>
    <workbookView xWindow="-110" yWindow="-110" windowWidth="19420" windowHeight="10420" firstSheet="1" activeTab="1" xr2:uid="{00000000-000D-0000-FFFF-FFFF00000000}"/>
  </bookViews>
  <sheets>
    <sheet name="TONGHOP" sheetId="1" state="hidden" r:id="rId1"/>
    <sheet name="IN PHIEU" sheetId="2" r:id="rId2"/>
  </sheets>
  <definedNames>
    <definedName name="_xlnm.Print_Area" localSheetId="1">'IN PHIEU'!$A$1:$G$48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I13" i="1" l="1"/>
  <c r="I14" i="1"/>
  <c r="J14" i="1" s="1"/>
  <c r="I15" i="1"/>
  <c r="J15" i="1" s="1"/>
  <c r="F14" i="1"/>
  <c r="F15" i="1"/>
  <c r="J13" i="1" l="1"/>
  <c r="I31" i="1" l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F33" i="1"/>
  <c r="F34" i="1"/>
  <c r="F36" i="1"/>
  <c r="F37" i="1"/>
  <c r="F38" i="1"/>
  <c r="F40" i="1"/>
  <c r="F41" i="1"/>
  <c r="F42" i="1"/>
  <c r="K44" i="1"/>
  <c r="K36" i="1" l="1"/>
  <c r="K38" i="1"/>
  <c r="K39" i="1"/>
  <c r="K41" i="1"/>
  <c r="K33" i="1"/>
  <c r="K40" i="1"/>
  <c r="K32" i="1"/>
  <c r="F32" i="1"/>
  <c r="K37" i="1"/>
  <c r="K42" i="1"/>
  <c r="K43" i="1"/>
  <c r="K35" i="1"/>
  <c r="F44" i="1"/>
  <c r="K34" i="1"/>
  <c r="F39" i="1"/>
  <c r="F43" i="1"/>
  <c r="F35" i="1"/>
  <c r="F17" i="1" l="1"/>
  <c r="F22" i="1" l="1"/>
  <c r="F30" i="1"/>
  <c r="F18" i="1"/>
  <c r="L17" i="1"/>
  <c r="F29" i="1"/>
  <c r="F21" i="1"/>
  <c r="F28" i="1"/>
  <c r="F24" i="1"/>
  <c r="F20" i="1"/>
  <c r="F26" i="1"/>
  <c r="F13" i="1"/>
  <c r="F25" i="1"/>
  <c r="K31" i="1"/>
  <c r="F31" i="1"/>
  <c r="F27" i="1"/>
  <c r="F23" i="1"/>
  <c r="F19" i="1"/>
  <c r="E11" i="1"/>
  <c r="F16" i="1"/>
  <c r="I16" i="1"/>
  <c r="J16" i="1" s="1"/>
  <c r="L16" i="1" s="1"/>
  <c r="I17" i="1"/>
  <c r="J17" i="1" s="1"/>
  <c r="M17" i="1" s="1"/>
  <c r="N17" i="1" s="1"/>
  <c r="I18" i="1"/>
  <c r="J18" i="1" s="1"/>
  <c r="K18" i="1" s="1"/>
  <c r="L18" i="1" s="1"/>
  <c r="I19" i="1"/>
  <c r="J19" i="1" s="1"/>
  <c r="K19" i="1" s="1"/>
  <c r="L19" i="1" s="1"/>
  <c r="I20" i="1"/>
  <c r="J20" i="1" s="1"/>
  <c r="K20" i="1" s="1"/>
  <c r="I21" i="1"/>
  <c r="J21" i="1" s="1"/>
  <c r="K21" i="1" s="1"/>
  <c r="I22" i="1"/>
  <c r="J22" i="1" s="1"/>
  <c r="K22" i="1" s="1"/>
  <c r="I23" i="1"/>
  <c r="J23" i="1" s="1"/>
  <c r="K23" i="1" s="1"/>
  <c r="I24" i="1"/>
  <c r="J24" i="1" s="1"/>
  <c r="K24" i="1" s="1"/>
  <c r="I25" i="1"/>
  <c r="J25" i="1" s="1"/>
  <c r="K25" i="1" s="1"/>
  <c r="I26" i="1"/>
  <c r="J26" i="1" s="1"/>
  <c r="K26" i="1" s="1"/>
  <c r="I27" i="1"/>
  <c r="J27" i="1" s="1"/>
  <c r="K27" i="1" s="1"/>
  <c r="I28" i="1"/>
  <c r="J28" i="1" s="1"/>
  <c r="K28" i="1" s="1"/>
  <c r="I29" i="1"/>
  <c r="J29" i="1" s="1"/>
  <c r="K29" i="1" s="1"/>
  <c r="I30" i="1"/>
  <c r="J30" i="1" s="1"/>
  <c r="K30" i="1" s="1"/>
  <c r="I12" i="1"/>
  <c r="J12" i="1" s="1"/>
  <c r="F11" i="1" l="1"/>
  <c r="K12" i="1"/>
  <c r="K13" i="1" s="1"/>
  <c r="M20" i="1"/>
  <c r="N20" i="1" s="1"/>
  <c r="M19" i="1"/>
  <c r="N19" i="1" s="1"/>
  <c r="M18" i="1"/>
  <c r="N18" i="1" s="1"/>
  <c r="I11" i="1"/>
  <c r="L20" i="1"/>
  <c r="M16" i="1"/>
  <c r="N16" i="1" s="1"/>
  <c r="L12" i="1" l="1"/>
  <c r="M12" i="1"/>
  <c r="N12" i="1" s="1"/>
  <c r="L13" i="1"/>
  <c r="K14" i="1"/>
  <c r="K15" i="1" s="1"/>
  <c r="J11" i="1"/>
  <c r="L21" i="1"/>
  <c r="M21" i="1"/>
  <c r="N21" i="1" s="1"/>
  <c r="M13" i="1" l="1"/>
  <c r="N13" i="1" s="1"/>
  <c r="L14" i="1"/>
  <c r="M14" i="1"/>
  <c r="N14" i="1" s="1"/>
  <c r="M15" i="1"/>
  <c r="N15" i="1" s="1"/>
  <c r="L15" i="1"/>
  <c r="L22" i="1"/>
  <c r="M22" i="1"/>
  <c r="N22" i="1" s="1"/>
  <c r="L23" i="1" l="1"/>
  <c r="M23" i="1"/>
  <c r="N23" i="1" s="1"/>
  <c r="L24" i="1" l="1"/>
  <c r="M24" i="1"/>
  <c r="N24" i="1" s="1"/>
  <c r="L25" i="1" l="1"/>
  <c r="M25" i="1"/>
  <c r="N25" i="1" s="1"/>
  <c r="L26" i="1" l="1"/>
  <c r="M26" i="1"/>
  <c r="N26" i="1" s="1"/>
  <c r="L27" i="1" l="1"/>
  <c r="M27" i="1"/>
  <c r="N27" i="1" s="1"/>
  <c r="L28" i="1" l="1"/>
  <c r="M28" i="1"/>
  <c r="N28" i="1" s="1"/>
  <c r="L29" i="1" l="1"/>
  <c r="M29" i="1"/>
  <c r="N29" i="1" s="1"/>
  <c r="L30" i="1" l="1"/>
  <c r="M30" i="1"/>
  <c r="N30" i="1" s="1"/>
  <c r="L31" i="1" l="1"/>
  <c r="M31" i="1"/>
  <c r="N31" i="1" s="1"/>
  <c r="L32" i="1" l="1"/>
  <c r="M32" i="1"/>
  <c r="N32" i="1" s="1"/>
  <c r="L33" i="1" l="1"/>
  <c r="M33" i="1"/>
  <c r="N33" i="1" s="1"/>
  <c r="L34" i="1" l="1"/>
  <c r="M34" i="1"/>
  <c r="N34" i="1" s="1"/>
  <c r="L35" i="1" l="1"/>
  <c r="M35" i="1"/>
  <c r="N35" i="1" s="1"/>
  <c r="L36" i="1" l="1"/>
  <c r="M36" i="1"/>
  <c r="N36" i="1" s="1"/>
  <c r="L37" i="1" l="1"/>
  <c r="M37" i="1"/>
  <c r="N37" i="1" s="1"/>
  <c r="L38" i="1" l="1"/>
  <c r="M38" i="1"/>
  <c r="N38" i="1" s="1"/>
  <c r="L39" i="1" l="1"/>
  <c r="M39" i="1"/>
  <c r="N39" i="1" s="1"/>
  <c r="L40" i="1" l="1"/>
  <c r="M40" i="1"/>
  <c r="N40" i="1" s="1"/>
  <c r="L41" i="1" l="1"/>
  <c r="M41" i="1"/>
  <c r="N41" i="1" s="1"/>
  <c r="L42" i="1" l="1"/>
  <c r="M42" i="1"/>
  <c r="N42" i="1" s="1"/>
  <c r="L43" i="1" l="1"/>
  <c r="M43" i="1"/>
  <c r="N43" i="1" s="1"/>
  <c r="L44" i="1" l="1"/>
  <c r="M44" i="1"/>
  <c r="N44" i="1" s="1"/>
  <c r="K11" i="1"/>
</calcChain>
</file>

<file path=xl/sharedStrings.xml><?xml version="1.0" encoding="utf-8"?>
<sst xmlns="http://schemas.openxmlformats.org/spreadsheetml/2006/main" count="115" uniqueCount="92">
  <si>
    <t>STT</t>
  </si>
  <si>
    <t>SỐ PHIẾU ĐỀ XUẤT</t>
  </si>
  <si>
    <t>NGÀY THÁNG ĐỀ XUẤT</t>
  </si>
  <si>
    <t>I</t>
  </si>
  <si>
    <t>C</t>
  </si>
  <si>
    <t>D</t>
  </si>
  <si>
    <t>V=E*IV</t>
  </si>
  <si>
    <t>VI=I-V</t>
  </si>
  <si>
    <t>GHI CHÚ</t>
  </si>
  <si>
    <t>THÔNG TIN ĐỀ XUẤT</t>
  </si>
  <si>
    <t>VI</t>
  </si>
  <si>
    <t>VII</t>
  </si>
  <si>
    <t>B=A*V</t>
  </si>
  <si>
    <t>E=D-C</t>
  </si>
  <si>
    <t>NGƯỜI ĐỀ XUẤT</t>
  </si>
  <si>
    <t>BẢNG THEO DÕI THÔNG TIN CẤP PHÁT NHIÊN LIỆU</t>
  </si>
  <si>
    <t>Đơn vị định mức</t>
  </si>
  <si>
    <t>Định mức</t>
  </si>
  <si>
    <t>lít/giờ</t>
  </si>
  <si>
    <t xml:space="preserve">THÔNG TIN VẬN HÀNH </t>
  </si>
  <si>
    <t>02/DXNL</t>
  </si>
  <si>
    <t>lít</t>
  </si>
  <si>
    <t>lít/100km</t>
  </si>
  <si>
    <t>(Yêu cầu có file hình ảnh chứng minh chỉ số km/giờ tiêu thụ kèm Phiếu đề xuất)</t>
  </si>
  <si>
    <t>PHIẾU ĐỀ NGHỊ XUẤT NHIÊN LIỆU</t>
  </si>
  <si>
    <t>TÊN NHIÊN LIỆU</t>
  </si>
  <si>
    <t>SỐ LƯỢNG</t>
  </si>
  <si>
    <t>ĐƠN GIÁ</t>
  </si>
  <si>
    <t>ĐVT</t>
  </si>
  <si>
    <t>giờ</t>
  </si>
  <si>
    <t>THÔNG TIN SAU ĐỀ XUẤT</t>
  </si>
  <si>
    <t>NHIÊN LIỆU DỰ KIẾN ĐỀ XUẤT (lít)</t>
  </si>
  <si>
    <t>NHIÊN LIỆU ĐỀ XUẤT LẦN TRƯỚC (lít)</t>
  </si>
  <si>
    <t>CHỈ SỐ ĐẦU (km)</t>
  </si>
  <si>
    <t>CHỈ SỐ CUỐI
(km)</t>
  </si>
  <si>
    <t>MỨC NHIÊN LIỆU TIÊU THỤ THỰC TẾ (lít)</t>
  </si>
  <si>
    <t>CHỈ SỐ CUỐI DỰ KIẾN (km)</t>
  </si>
  <si>
    <t>SỐ GIỜ CHÊNH LỆCH VỚI ĐỀ XUẤT (h)</t>
  </si>
  <si>
    <t>TỔNG CỘNG</t>
  </si>
  <si>
    <t>TÊN THIẾT BỊ: XE Ô TÔ HUYNDAI SANTAFE 76M-1399</t>
  </si>
  <si>
    <t>MÃ THIẾT BỊ: VP-XE-011</t>
  </si>
  <si>
    <t>Lít/100km</t>
  </si>
  <si>
    <t xml:space="preserve"> QUẢNG ĐƯỜNG VẬN HÀNH (h)</t>
  </si>
  <si>
    <t>Xăng A92</t>
  </si>
  <si>
    <t>Xăng A95</t>
  </si>
  <si>
    <t>QUẢNG ĐƯỜNG HOẠT ĐỘNG DỰ KIẾN (km)</t>
  </si>
  <si>
    <t>x</t>
  </si>
  <si>
    <t>Định mức nhiên liệu</t>
  </si>
  <si>
    <t>XÁC NHẬN CỦA NHÀ CUNG CẤP</t>
  </si>
  <si>
    <t>01/DXNL</t>
  </si>
  <si>
    <t>Hà Anh Quân</t>
  </si>
  <si>
    <t>Dầu Diesel</t>
  </si>
  <si>
    <t>Nguyễn Thanh Hương</t>
  </si>
  <si>
    <t>NHIÊN LIỆU THỪA(lít)</t>
  </si>
  <si>
    <t>Căn cứ thực tế tình hình sử dụng nhiên liệu xe ô tô/thiết bị: ……………………………………</t>
  </si>
  <si>
    <t>Mã ô tô/thiết bị: ………………………….Serial:………………………………………………..</t>
  </si>
  <si>
    <t>Lý do đề xuất:…………………………………………………………………………………….</t>
  </si>
  <si>
    <t>Theo Hợp đồng/Đơn hàng:……………………………………………………………………….</t>
  </si>
  <si>
    <t>PHÊ DUYỆT CỦA BAN GIÁM ĐỐC</t>
  </si>
  <si>
    <t xml:space="preserve">CHỈ ĐẠO XỬ LÝ </t>
  </si>
  <si>
    <t>Xử lý</t>
  </si>
  <si>
    <t>Phối hợp</t>
  </si>
  <si>
    <t>󠄈 TMHĐ</t>
  </si>
  <si>
    <t xml:space="preserve">          Số: …………………………………………………</t>
  </si>
  <si>
    <t>THIẾT BỊ</t>
  </si>
  <si>
    <t>DIỄN GIẢI</t>
  </si>
  <si>
    <t>Ô TÔ/PHƯƠNG TIỆN VẬN TẢI</t>
  </si>
  <si>
    <t>l/100km</t>
  </si>
  <si>
    <t>km</t>
  </si>
  <si>
    <t xml:space="preserve">    - Tổng số nhiên liệu lần trước (A=A1+A2), trong đó:</t>
  </si>
  <si>
    <t xml:space="preserve">   - Định mức tiêu thụ theo quy định (B):</t>
  </si>
  <si>
    <t xml:space="preserve">   - Chỉ số hiển thị ở lần đề nghị trước (C):</t>
  </si>
  <si>
    <t xml:space="preserve">   - Chỉ số hiển thị ở lần đề nghị sau (D):</t>
  </si>
  <si>
    <t xml:space="preserve">   - Số lượng vận hành (E=D-C):</t>
  </si>
  <si>
    <t xml:space="preserve">   - Số nhiên liệu tiêu thụ thực tế (F=E*B):</t>
  </si>
  <si>
    <t xml:space="preserve">   - Thời gian dự kiến vận hành theo đề xuất lần này:</t>
  </si>
  <si>
    <t xml:space="preserve">          - Thừa lần trước (A2):</t>
  </si>
  <si>
    <t xml:space="preserve">          - Đã đề xuất lần trước (A1):</t>
  </si>
  <si>
    <t xml:space="preserve">Ngày:    /     /      </t>
  </si>
  <si>
    <t xml:space="preserve">   - Số nhiên liệu thừa (I=A-G):</t>
  </si>
  <si>
    <t xml:space="preserve">   - Tổng số nhiên liệu tiêu thụ (G=F1+F2)</t>
  </si>
  <si>
    <t xml:space="preserve">NGƯỜI ĐỀ XUẤT                                        TRƯỞNG BỘ PHẬN                                     BỘ PHẬN KẾ HOẠCH                </t>
  </si>
  <si>
    <t xml:space="preserve">                       CÔNG TY CP KỸ THUẬT</t>
  </si>
  <si>
    <t xml:space="preserve">                     CƠ KHÍ VÀ NĂNG LƯỢNG</t>
  </si>
  <si>
    <t xml:space="preserve">   Căn cứ vào hợp đồng số:…...     ngày    tháng    năm 20….. giữa Công ty MEEC (Bên B) và ...……………........................................................... (Bên A) về việc cung cấp nhiên liệu. Công ty MEEC kính đề nghị cửa hàng Xăng dầu............................................................ Bên A cung cấp nhiên liệu theo số lượng cụ thể sau đây:</t>
  </si>
  <si>
    <t>󠄈 KTSX</t>
  </si>
  <si>
    <t>󠄈 DVKH</t>
  </si>
  <si>
    <t>󠄈 KHSX</t>
  </si>
  <si>
    <r>
      <t>¨</t>
    </r>
    <r>
      <rPr>
        <sz val="12"/>
        <color theme="1"/>
        <rFont val="Times New Roman"/>
        <family val="1"/>
      </rPr>
      <t xml:space="preserve">  BKSNB                       </t>
    </r>
  </si>
  <si>
    <r>
      <t>¨</t>
    </r>
    <r>
      <rPr>
        <sz val="12"/>
        <color theme="1"/>
        <rFont val="Times New Roman"/>
        <family val="1"/>
      </rPr>
      <t xml:space="preserve">  HCNS                                                 </t>
    </r>
  </si>
  <si>
    <r>
      <t>¨</t>
    </r>
    <r>
      <rPr>
        <sz val="12"/>
        <color theme="1"/>
        <rFont val="Times New Roman"/>
        <family val="1"/>
      </rPr>
      <t xml:space="preserve"> TCKT                           </t>
    </r>
  </si>
  <si>
    <r>
      <t>¨</t>
    </r>
    <r>
      <rPr>
        <sz val="12"/>
        <color theme="1"/>
        <rFont val="Times New Roman"/>
        <family val="1"/>
      </rPr>
      <t xml:space="preserve"> T.DA…...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</si>
</sst>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8"/>
      <color theme="1"/>
      <name val="Times New Roman"/>
      <family val="1"/>
    </font>
    <font>
      <b/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b/>
      <sz val="14"/>
      <color rgb="FF0070C0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i/>
      <sz val="12"/>
      <color theme="1"/>
      <name val="Times New Roman"/>
      <family val="1"/>
    </font>
    <font>
      <b/>
      <sz val="13"/>
      <name val="Times New Roman"/>
      <family val="1"/>
    </font>
    <font>
      <sz val="12"/>
      <color theme="1"/>
      <name val="Wingdings"/>
      <charset val="2"/>
    </font>
    <font>
      <sz val="12"/>
      <color theme="1"/>
      <name val="Times New Roman"/>
      <family val="1"/>
      <charset val="163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2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/>
    <xf numFmtId="165" fontId="2" fillId="0" borderId="1" xfId="1" applyNumberFormat="1" applyFont="1" applyBorder="1"/>
    <xf numFmtId="0" fontId="3" fillId="4" borderId="1" xfId="0" applyFont="1" applyFill="1" applyBorder="1" applyAlignment="1">
      <alignment horizontal="center" vertical="center" wrapText="1"/>
    </xf>
    <xf numFmtId="165" fontId="2" fillId="0" borderId="0" xfId="0" applyNumberFormat="1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4" borderId="0" xfId="0" applyFont="1" applyFill="1"/>
    <xf numFmtId="165" fontId="2" fillId="0" borderId="1" xfId="0" applyNumberFormat="1" applyFont="1" applyBorder="1"/>
    <xf numFmtId="0" fontId="2" fillId="0" borderId="5" xfId="0" applyFont="1" applyBorder="1"/>
    <xf numFmtId="165" fontId="2" fillId="0" borderId="5" xfId="1" applyNumberFormat="1" applyFont="1" applyBorder="1"/>
    <xf numFmtId="0" fontId="9" fillId="0" borderId="0" xfId="0" applyFont="1" applyAlignment="1">
      <alignment horizontal="center"/>
    </xf>
    <xf numFmtId="0" fontId="10" fillId="0" borderId="0" xfId="0" applyFont="1"/>
    <xf numFmtId="0" fontId="7" fillId="0" borderId="0" xfId="0" applyFont="1"/>
    <xf numFmtId="0" fontId="3" fillId="4" borderId="0" xfId="0" applyFont="1" applyFill="1" applyAlignment="1">
      <alignment horizontal="center" vertical="center" wrapText="1"/>
    </xf>
    <xf numFmtId="0" fontId="3" fillId="4" borderId="1" xfId="0" applyFont="1" applyFill="1" applyBorder="1"/>
    <xf numFmtId="0" fontId="2" fillId="4" borderId="1" xfId="0" applyFont="1" applyFill="1" applyBorder="1"/>
    <xf numFmtId="164" fontId="2" fillId="0" borderId="1" xfId="1" applyFont="1" applyBorder="1"/>
    <xf numFmtId="164" fontId="2" fillId="0" borderId="1" xfId="0" applyNumberFormat="1" applyFont="1" applyBorder="1"/>
    <xf numFmtId="0" fontId="2" fillId="5" borderId="1" xfId="0" applyFont="1" applyFill="1" applyBorder="1"/>
    <xf numFmtId="165" fontId="2" fillId="5" borderId="1" xfId="1" applyNumberFormat="1" applyFont="1" applyFill="1" applyBorder="1"/>
    <xf numFmtId="0" fontId="2" fillId="5" borderId="5" xfId="0" applyFont="1" applyFill="1" applyBorder="1"/>
    <xf numFmtId="1" fontId="2" fillId="0" borderId="1" xfId="0" applyNumberFormat="1" applyFont="1" applyBorder="1"/>
    <xf numFmtId="0" fontId="7" fillId="0" borderId="0" xfId="0" quotePrefix="1" applyFont="1"/>
    <xf numFmtId="14" fontId="12" fillId="0" borderId="0" xfId="0" applyNumberFormat="1" applyFont="1"/>
    <xf numFmtId="0" fontId="11" fillId="0" borderId="0" xfId="0" applyFont="1" applyAlignment="1">
      <alignment horizontal="left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1" xfId="0" quotePrefix="1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12" fillId="6" borderId="0" xfId="0" applyFont="1" applyFill="1"/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indent="3"/>
    </xf>
    <xf numFmtId="0" fontId="15" fillId="0" borderId="20" xfId="0" applyFont="1" applyBorder="1" applyAlignment="1">
      <alignment horizontal="left" vertical="center" indent="3"/>
    </xf>
    <xf numFmtId="0" fontId="15" fillId="0" borderId="20" xfId="0" applyFont="1" applyBorder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2" fillId="0" borderId="2" xfId="0" quotePrefix="1" applyFont="1" applyBorder="1" applyAlignment="1">
      <alignment horizontal="left" vertical="center"/>
    </xf>
    <xf numFmtId="0" fontId="2" fillId="0" borderId="3" xfId="0" quotePrefix="1" applyFont="1" applyBorder="1" applyAlignment="1">
      <alignment horizontal="left" vertical="center"/>
    </xf>
    <xf numFmtId="0" fontId="2" fillId="0" borderId="4" xfId="0" quotePrefix="1" applyFont="1" applyBorder="1" applyAlignment="1">
      <alignment horizontal="left" vertical="center"/>
    </xf>
    <xf numFmtId="0" fontId="13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left" vertical="center"/>
    </xf>
    <xf numFmtId="0" fontId="3" fillId="0" borderId="3" xfId="0" quotePrefix="1" applyFont="1" applyBorder="1" applyAlignment="1">
      <alignment horizontal="left" vertical="center"/>
    </xf>
    <xf numFmtId="0" fontId="3" fillId="0" borderId="4" xfId="0" quotePrefix="1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0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3" fillId="0" borderId="1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6" fillId="0" borderId="7" xfId="0" applyFont="1" applyBorder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6" fillId="0" borderId="17" xfId="0" applyFont="1" applyBorder="1" applyAlignment="1">
      <alignment horizontal="left" vertical="center"/>
    </xf>
    <xf numFmtId="0" fontId="13" fillId="0" borderId="2" xfId="0" quotePrefix="1" applyFont="1" applyBorder="1" applyAlignment="1">
      <alignment horizontal="left" vertical="center"/>
    </xf>
    <xf numFmtId="0" fontId="13" fillId="0" borderId="3" xfId="0" quotePrefix="1" applyFont="1" applyBorder="1" applyAlignment="1">
      <alignment horizontal="left" vertical="center"/>
    </xf>
    <xf numFmtId="0" fontId="13" fillId="0" borderId="4" xfId="0" quotePrefix="1" applyFont="1" applyBorder="1" applyAlignment="1">
      <alignment horizontal="left" vertical="center"/>
    </xf>
    <xf numFmtId="0" fontId="16" fillId="0" borderId="21" xfId="0" applyFont="1" applyBorder="1" applyAlignment="1">
      <alignment horizontal="left" vertical="center"/>
    </xf>
    <xf numFmtId="0" fontId="16" fillId="0" borderId="22" xfId="0" applyFont="1" applyBorder="1" applyAlignment="1">
      <alignment horizontal="left" vertical="center"/>
    </xf>
    <xf numFmtId="0" fontId="16" fillId="0" borderId="23" xfId="0" applyFont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23815</xdr:rowOff>
    </xdr:from>
    <xdr:to>
      <xdr:col>1</xdr:col>
      <xdr:colOff>381000</xdr:colOff>
      <xdr:row>2</xdr:row>
      <xdr:rowOff>94137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85BA23C-C895-4398-87AC-4D4C3CE2A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23815"/>
          <a:ext cx="828675" cy="546572"/>
        </a:xfrm>
        <a:prstGeom prst="rect">
          <a:avLst/>
        </a:prstGeom>
      </xdr:spPr>
    </xdr:pic>
    <xdr:clientData/>
  </xdr:twoCellAnchor>
  <xdr:twoCellAnchor>
    <xdr:from>
      <xdr:col>1</xdr:col>
      <xdr:colOff>1028700</xdr:colOff>
      <xdr:row>2</xdr:row>
      <xdr:rowOff>9525</xdr:rowOff>
    </xdr:from>
    <xdr:to>
      <xdr:col>2</xdr:col>
      <xdr:colOff>638175</xdr:colOff>
      <xdr:row>2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969CEAC-B5C0-95EB-9464-02D3725DDC10}"/>
            </a:ext>
          </a:extLst>
        </xdr:cNvPr>
        <xdr:cNvCxnSpPr/>
      </xdr:nvCxnSpPr>
      <xdr:spPr>
        <a:xfrm>
          <a:off x="1485900" y="485775"/>
          <a:ext cx="21431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44"/>
  <sheetViews>
    <sheetView topLeftCell="A4" zoomScale="85" zoomScaleNormal="85" workbookViewId="0">
      <selection activeCell="D17" sqref="D17"/>
    </sheetView>
  </sheetViews>
  <sheetFormatPr defaultColWidth="8.81640625" defaultRowHeight="15.5" x14ac:dyDescent="0.35"/>
  <cols>
    <col min="1" max="1" width="5.6328125" style="1" customWidth="1"/>
    <col min="2" max="2" width="16.36328125" style="1" bestFit="1" customWidth="1"/>
    <col min="3" max="3" width="16.36328125" style="1" customWidth="1"/>
    <col min="4" max="4" width="18" style="1" customWidth="1"/>
    <col min="5" max="6" width="14.6328125" style="1" customWidth="1"/>
    <col min="7" max="7" width="16.6328125" style="1" customWidth="1"/>
    <col min="8" max="8" width="15.6328125" style="1" customWidth="1"/>
    <col min="9" max="9" width="14.08984375" style="1" customWidth="1"/>
    <col min="10" max="11" width="17.08984375" style="1" customWidth="1"/>
    <col min="12" max="12" width="17.08984375" style="1" hidden="1" customWidth="1"/>
    <col min="13" max="14" width="17.6328125" style="1" hidden="1" customWidth="1"/>
    <col min="15" max="15" width="19" style="1" customWidth="1"/>
    <col min="16" max="16384" width="8.81640625" style="1"/>
  </cols>
  <sheetData>
    <row r="2" spans="1:19" ht="22.5" x14ac:dyDescent="0.45">
      <c r="A2" s="52" t="s">
        <v>15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9" ht="17.5" x14ac:dyDescent="0.35">
      <c r="A3" s="53" t="s">
        <v>39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</row>
    <row r="4" spans="1:19" ht="17.5" x14ac:dyDescent="0.35">
      <c r="A4" s="53" t="s">
        <v>40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</row>
    <row r="5" spans="1:19" ht="17.5" x14ac:dyDescent="0.3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</row>
    <row r="6" spans="1:19" ht="22.5" x14ac:dyDescent="0.45">
      <c r="A6" s="9"/>
      <c r="B6" s="17"/>
      <c r="C6" s="17"/>
      <c r="D6" s="11"/>
      <c r="E6" s="17"/>
      <c r="F6" s="9"/>
      <c r="G6" s="9"/>
      <c r="H6" s="11" t="s">
        <v>16</v>
      </c>
      <c r="I6" s="17" t="s">
        <v>41</v>
      </c>
      <c r="J6" s="56" t="s">
        <v>47</v>
      </c>
      <c r="K6" s="56"/>
      <c r="L6" s="11" t="s">
        <v>17</v>
      </c>
      <c r="M6" s="17">
        <v>13.5</v>
      </c>
      <c r="N6" s="1" t="s">
        <v>22</v>
      </c>
      <c r="O6" s="17">
        <v>13.5</v>
      </c>
    </row>
    <row r="7" spans="1:19" ht="17.5" x14ac:dyDescent="0.35">
      <c r="O7" s="12"/>
    </row>
    <row r="8" spans="1:19" ht="23.15" customHeight="1" x14ac:dyDescent="0.35">
      <c r="A8" s="55" t="s">
        <v>0</v>
      </c>
      <c r="B8" s="48" t="s">
        <v>9</v>
      </c>
      <c r="C8" s="49"/>
      <c r="D8" s="49"/>
      <c r="E8" s="49"/>
      <c r="F8" s="54" t="s">
        <v>19</v>
      </c>
      <c r="G8" s="54"/>
      <c r="H8" s="54"/>
      <c r="I8" s="54"/>
      <c r="J8" s="54"/>
      <c r="K8" s="54"/>
      <c r="L8" s="51" t="s">
        <v>30</v>
      </c>
      <c r="M8" s="51"/>
      <c r="N8" s="51"/>
      <c r="O8" s="51" t="s">
        <v>8</v>
      </c>
    </row>
    <row r="9" spans="1:19" ht="60" x14ac:dyDescent="0.35">
      <c r="A9" s="55"/>
      <c r="B9" s="3" t="s">
        <v>1</v>
      </c>
      <c r="C9" s="3" t="s">
        <v>14</v>
      </c>
      <c r="D9" s="3" t="s">
        <v>2</v>
      </c>
      <c r="E9" s="3" t="s">
        <v>31</v>
      </c>
      <c r="F9" s="4" t="s">
        <v>32</v>
      </c>
      <c r="G9" s="4" t="s">
        <v>33</v>
      </c>
      <c r="H9" s="4" t="s">
        <v>34</v>
      </c>
      <c r="I9" s="4" t="s">
        <v>42</v>
      </c>
      <c r="J9" s="4" t="s">
        <v>35</v>
      </c>
      <c r="K9" s="4" t="s">
        <v>53</v>
      </c>
      <c r="L9" s="7" t="s">
        <v>36</v>
      </c>
      <c r="M9" s="7" t="s">
        <v>45</v>
      </c>
      <c r="N9" s="7" t="s">
        <v>37</v>
      </c>
      <c r="O9" s="51"/>
    </row>
    <row r="10" spans="1:19" x14ac:dyDescent="0.35">
      <c r="A10" s="3" t="s">
        <v>3</v>
      </c>
      <c r="B10" s="3" t="s">
        <v>10</v>
      </c>
      <c r="C10" s="3"/>
      <c r="D10" s="3" t="s">
        <v>11</v>
      </c>
      <c r="E10" s="3" t="s">
        <v>12</v>
      </c>
      <c r="F10" s="4"/>
      <c r="G10" s="4" t="s">
        <v>4</v>
      </c>
      <c r="H10" s="4" t="s">
        <v>5</v>
      </c>
      <c r="I10" s="4" t="s">
        <v>13</v>
      </c>
      <c r="J10" s="4" t="s">
        <v>6</v>
      </c>
      <c r="K10" s="4" t="s">
        <v>7</v>
      </c>
      <c r="L10" s="21"/>
      <c r="M10" s="22"/>
      <c r="N10" s="22"/>
      <c r="O10" s="22"/>
    </row>
    <row r="11" spans="1:19" x14ac:dyDescent="0.35">
      <c r="A11" s="48" t="s">
        <v>38</v>
      </c>
      <c r="B11" s="49"/>
      <c r="C11" s="49"/>
      <c r="D11" s="50"/>
      <c r="E11" s="3">
        <f t="shared" ref="E11:K11" si="0">SUM(E12:E44)</f>
        <v>145</v>
      </c>
      <c r="F11" s="3">
        <f t="shared" si="0"/>
        <v>220</v>
      </c>
      <c r="G11" s="3" t="s">
        <v>46</v>
      </c>
      <c r="H11" s="3" t="s">
        <v>46</v>
      </c>
      <c r="I11" s="3">
        <f t="shared" si="0"/>
        <v>1065</v>
      </c>
      <c r="J11" s="3">
        <f t="shared" si="0"/>
        <v>143.77499999999998</v>
      </c>
      <c r="K11" s="3">
        <f t="shared" si="0"/>
        <v>158.75000000000003</v>
      </c>
      <c r="L11" s="20"/>
      <c r="M11" s="13"/>
      <c r="N11" s="13"/>
      <c r="O11" s="13"/>
    </row>
    <row r="12" spans="1:19" x14ac:dyDescent="0.35">
      <c r="A12" s="2">
        <v>1</v>
      </c>
      <c r="B12" s="2" t="s">
        <v>49</v>
      </c>
      <c r="C12" s="2" t="s">
        <v>50</v>
      </c>
      <c r="D12" s="5">
        <v>44434</v>
      </c>
      <c r="E12" s="28">
        <v>75</v>
      </c>
      <c r="F12" s="28">
        <v>75</v>
      </c>
      <c r="G12" s="26">
        <v>28950</v>
      </c>
      <c r="H12" s="26">
        <v>29505</v>
      </c>
      <c r="I12" s="2">
        <f>H12-G12</f>
        <v>555</v>
      </c>
      <c r="J12" s="2">
        <f>I12/100*$M$6</f>
        <v>74.924999999999997</v>
      </c>
      <c r="K12" s="2">
        <f>F12-J12</f>
        <v>7.5000000000002842E-2</v>
      </c>
      <c r="L12" s="14">
        <f t="shared" ref="L12:L44" si="1">(E12+K12)/$M$6+H12</f>
        <v>29510.56111111111</v>
      </c>
      <c r="M12" s="23">
        <f t="shared" ref="M12:M44" si="2">(E12+K12)/$M$6</f>
        <v>5.5611111111111109</v>
      </c>
      <c r="N12" s="24" t="e">
        <f>M12-#REF!</f>
        <v>#REF!</v>
      </c>
      <c r="O12" s="2"/>
      <c r="S12" s="1" t="s">
        <v>43</v>
      </c>
    </row>
    <row r="13" spans="1:19" x14ac:dyDescent="0.35">
      <c r="A13" s="2">
        <v>2</v>
      </c>
      <c r="B13" s="2" t="s">
        <v>20</v>
      </c>
      <c r="C13" s="2" t="s">
        <v>52</v>
      </c>
      <c r="D13" s="5">
        <v>44447</v>
      </c>
      <c r="E13" s="28">
        <v>70</v>
      </c>
      <c r="F13" s="28">
        <f>E12</f>
        <v>75</v>
      </c>
      <c r="G13" s="26">
        <f>H12</f>
        <v>29505</v>
      </c>
      <c r="H13" s="26">
        <v>30015</v>
      </c>
      <c r="I13" s="2">
        <f t="shared" ref="I13:I15" si="3">H13-G13</f>
        <v>510</v>
      </c>
      <c r="J13" s="2">
        <f t="shared" ref="J13:J15" si="4">I13/100*$M$6</f>
        <v>68.849999999999994</v>
      </c>
      <c r="K13" s="28">
        <f>K12+F13-J13</f>
        <v>6.2250000000000085</v>
      </c>
      <c r="L13" s="14">
        <f t="shared" si="1"/>
        <v>30020.646296296298</v>
      </c>
      <c r="M13" s="23">
        <f t="shared" si="2"/>
        <v>5.6462962962962973</v>
      </c>
      <c r="N13" s="24" t="e">
        <f>M13-#REF!</f>
        <v>#REF!</v>
      </c>
      <c r="O13" s="2"/>
      <c r="S13" s="1" t="s">
        <v>51</v>
      </c>
    </row>
    <row r="14" spans="1:19" x14ac:dyDescent="0.35">
      <c r="A14" s="2">
        <v>3</v>
      </c>
      <c r="B14" s="2"/>
      <c r="C14" s="2"/>
      <c r="D14" s="5"/>
      <c r="E14" s="6"/>
      <c r="F14" s="28">
        <f t="shared" ref="F14:F15" si="5">E13</f>
        <v>70</v>
      </c>
      <c r="G14" s="26"/>
      <c r="H14" s="26"/>
      <c r="I14" s="2">
        <f t="shared" si="3"/>
        <v>0</v>
      </c>
      <c r="J14" s="2">
        <f t="shared" si="4"/>
        <v>0</v>
      </c>
      <c r="K14" s="14">
        <f>K13+F14-J14</f>
        <v>76.225000000000009</v>
      </c>
      <c r="L14" s="14">
        <f t="shared" si="1"/>
        <v>5.6462962962962973</v>
      </c>
      <c r="M14" s="23">
        <f t="shared" si="2"/>
        <v>5.6462962962962973</v>
      </c>
      <c r="N14" s="24" t="e">
        <f>M14-#REF!</f>
        <v>#REF!</v>
      </c>
      <c r="O14" s="2"/>
      <c r="Q14" s="8"/>
      <c r="S14" s="1" t="s">
        <v>44</v>
      </c>
    </row>
    <row r="15" spans="1:19" x14ac:dyDescent="0.35">
      <c r="A15" s="2">
        <v>4</v>
      </c>
      <c r="B15" s="2"/>
      <c r="C15" s="2"/>
      <c r="D15" s="5"/>
      <c r="E15" s="6"/>
      <c r="F15" s="28">
        <f t="shared" si="5"/>
        <v>0</v>
      </c>
      <c r="G15" s="26"/>
      <c r="H15" s="26"/>
      <c r="I15" s="2">
        <f t="shared" si="3"/>
        <v>0</v>
      </c>
      <c r="J15" s="2">
        <f t="shared" si="4"/>
        <v>0</v>
      </c>
      <c r="K15" s="14">
        <f>K14+F15-J15</f>
        <v>76.225000000000009</v>
      </c>
      <c r="L15" s="14">
        <f t="shared" si="1"/>
        <v>5.6462962962962973</v>
      </c>
      <c r="M15" s="23">
        <f t="shared" si="2"/>
        <v>5.6462962962962973</v>
      </c>
      <c r="N15" s="24" t="e">
        <f>M15-#REF!</f>
        <v>#REF!</v>
      </c>
      <c r="O15" s="2"/>
    </row>
    <row r="16" spans="1:19" x14ac:dyDescent="0.35">
      <c r="A16" s="2">
        <v>5</v>
      </c>
      <c r="B16" s="2"/>
      <c r="C16" s="2"/>
      <c r="D16" s="2"/>
      <c r="E16" s="6"/>
      <c r="F16" s="6">
        <f t="shared" ref="F16:F44" si="6">E15</f>
        <v>0</v>
      </c>
      <c r="G16" s="26"/>
      <c r="H16" s="26"/>
      <c r="I16" s="6">
        <f t="shared" ref="I16:I30" si="7">H16-G16</f>
        <v>0</v>
      </c>
      <c r="J16" s="6">
        <f t="shared" ref="J16:J30" si="8">I16*$M$6</f>
        <v>0</v>
      </c>
      <c r="K16" s="14"/>
      <c r="L16" s="14">
        <f t="shared" si="1"/>
        <v>0</v>
      </c>
      <c r="M16" s="23">
        <f t="shared" si="2"/>
        <v>0</v>
      </c>
      <c r="N16" s="24" t="e">
        <f>M16-#REF!</f>
        <v>#REF!</v>
      </c>
      <c r="O16" s="2"/>
    </row>
    <row r="17" spans="1:15" x14ac:dyDescent="0.35">
      <c r="A17" s="2">
        <v>6</v>
      </c>
      <c r="B17" s="2"/>
      <c r="C17" s="2"/>
      <c r="D17" s="2"/>
      <c r="E17" s="6"/>
      <c r="F17" s="6">
        <f t="shared" si="6"/>
        <v>0</v>
      </c>
      <c r="G17" s="26"/>
      <c r="H17" s="26"/>
      <c r="I17" s="6">
        <f t="shared" si="7"/>
        <v>0</v>
      </c>
      <c r="J17" s="6">
        <f t="shared" si="8"/>
        <v>0</v>
      </c>
      <c r="K17" s="14"/>
      <c r="L17" s="14">
        <f t="shared" si="1"/>
        <v>0</v>
      </c>
      <c r="M17" s="23">
        <f t="shared" si="2"/>
        <v>0</v>
      </c>
      <c r="N17" s="24" t="e">
        <f>M17-#REF!</f>
        <v>#REF!</v>
      </c>
      <c r="O17" s="2"/>
    </row>
    <row r="18" spans="1:15" x14ac:dyDescent="0.35">
      <c r="A18" s="2">
        <v>7</v>
      </c>
      <c r="B18" s="2"/>
      <c r="C18" s="2"/>
      <c r="D18" s="2"/>
      <c r="E18" s="6"/>
      <c r="F18" s="6">
        <f t="shared" si="6"/>
        <v>0</v>
      </c>
      <c r="G18" s="26"/>
      <c r="H18" s="26"/>
      <c r="I18" s="6">
        <f t="shared" si="7"/>
        <v>0</v>
      </c>
      <c r="J18" s="6">
        <f t="shared" si="8"/>
        <v>0</v>
      </c>
      <c r="K18" s="6">
        <f t="shared" ref="K18:K44" si="9">E17-J18</f>
        <v>0</v>
      </c>
      <c r="L18" s="14">
        <f t="shared" si="1"/>
        <v>0</v>
      </c>
      <c r="M18" s="23">
        <f t="shared" si="2"/>
        <v>0</v>
      </c>
      <c r="N18" s="24" t="e">
        <f>M18-#REF!</f>
        <v>#REF!</v>
      </c>
      <c r="O18" s="2"/>
    </row>
    <row r="19" spans="1:15" x14ac:dyDescent="0.35">
      <c r="A19" s="2">
        <v>8</v>
      </c>
      <c r="B19" s="2"/>
      <c r="C19" s="2"/>
      <c r="D19" s="2"/>
      <c r="E19" s="6"/>
      <c r="F19" s="6">
        <f t="shared" si="6"/>
        <v>0</v>
      </c>
      <c r="G19" s="26"/>
      <c r="H19" s="26"/>
      <c r="I19" s="6">
        <f t="shared" si="7"/>
        <v>0</v>
      </c>
      <c r="J19" s="6">
        <f t="shared" si="8"/>
        <v>0</v>
      </c>
      <c r="K19" s="6">
        <f t="shared" si="9"/>
        <v>0</v>
      </c>
      <c r="L19" s="14">
        <f t="shared" si="1"/>
        <v>0</v>
      </c>
      <c r="M19" s="23">
        <f t="shared" si="2"/>
        <v>0</v>
      </c>
      <c r="N19" s="24" t="e">
        <f>M19-#REF!</f>
        <v>#REF!</v>
      </c>
      <c r="O19" s="2"/>
    </row>
    <row r="20" spans="1:15" x14ac:dyDescent="0.35">
      <c r="A20" s="2">
        <v>9</v>
      </c>
      <c r="B20" s="2"/>
      <c r="C20" s="2"/>
      <c r="D20" s="2"/>
      <c r="E20" s="6"/>
      <c r="F20" s="6">
        <f t="shared" si="6"/>
        <v>0</v>
      </c>
      <c r="G20" s="26"/>
      <c r="H20" s="26"/>
      <c r="I20" s="6">
        <f t="shared" si="7"/>
        <v>0</v>
      </c>
      <c r="J20" s="6">
        <f t="shared" si="8"/>
        <v>0</v>
      </c>
      <c r="K20" s="6">
        <f t="shared" si="9"/>
        <v>0</v>
      </c>
      <c r="L20" s="14">
        <f t="shared" si="1"/>
        <v>0</v>
      </c>
      <c r="M20" s="23">
        <f t="shared" si="2"/>
        <v>0</v>
      </c>
      <c r="N20" s="24" t="e">
        <f>M20-#REF!</f>
        <v>#REF!</v>
      </c>
      <c r="O20" s="2"/>
    </row>
    <row r="21" spans="1:15" x14ac:dyDescent="0.35">
      <c r="A21" s="2">
        <v>10</v>
      </c>
      <c r="B21" s="2"/>
      <c r="C21" s="2"/>
      <c r="D21" s="2"/>
      <c r="E21" s="6"/>
      <c r="F21" s="6">
        <f t="shared" si="6"/>
        <v>0</v>
      </c>
      <c r="G21" s="26"/>
      <c r="H21" s="26"/>
      <c r="I21" s="6">
        <f t="shared" si="7"/>
        <v>0</v>
      </c>
      <c r="J21" s="6">
        <f t="shared" si="8"/>
        <v>0</v>
      </c>
      <c r="K21" s="6">
        <f t="shared" si="9"/>
        <v>0</v>
      </c>
      <c r="L21" s="14">
        <f t="shared" si="1"/>
        <v>0</v>
      </c>
      <c r="M21" s="23">
        <f t="shared" si="2"/>
        <v>0</v>
      </c>
      <c r="N21" s="24" t="e">
        <f>M21-#REF!</f>
        <v>#REF!</v>
      </c>
      <c r="O21" s="2"/>
    </row>
    <row r="22" spans="1:15" x14ac:dyDescent="0.35">
      <c r="A22" s="2">
        <v>11</v>
      </c>
      <c r="B22" s="2"/>
      <c r="C22" s="2"/>
      <c r="D22" s="2"/>
      <c r="E22" s="6"/>
      <c r="F22" s="6">
        <f t="shared" si="6"/>
        <v>0</v>
      </c>
      <c r="G22" s="26"/>
      <c r="H22" s="26"/>
      <c r="I22" s="6">
        <f t="shared" si="7"/>
        <v>0</v>
      </c>
      <c r="J22" s="6">
        <f t="shared" si="8"/>
        <v>0</v>
      </c>
      <c r="K22" s="6">
        <f t="shared" si="9"/>
        <v>0</v>
      </c>
      <c r="L22" s="14">
        <f t="shared" si="1"/>
        <v>0</v>
      </c>
      <c r="M22" s="23">
        <f t="shared" si="2"/>
        <v>0</v>
      </c>
      <c r="N22" s="24" t="e">
        <f>M22-#REF!</f>
        <v>#REF!</v>
      </c>
      <c r="O22" s="2"/>
    </row>
    <row r="23" spans="1:15" x14ac:dyDescent="0.35">
      <c r="A23" s="2">
        <v>12</v>
      </c>
      <c r="B23" s="2"/>
      <c r="C23" s="2"/>
      <c r="D23" s="2"/>
      <c r="E23" s="6"/>
      <c r="F23" s="6">
        <f t="shared" si="6"/>
        <v>0</v>
      </c>
      <c r="G23" s="26"/>
      <c r="H23" s="26"/>
      <c r="I23" s="6">
        <f t="shared" si="7"/>
        <v>0</v>
      </c>
      <c r="J23" s="6">
        <f t="shared" si="8"/>
        <v>0</v>
      </c>
      <c r="K23" s="6">
        <f t="shared" si="9"/>
        <v>0</v>
      </c>
      <c r="L23" s="14">
        <f t="shared" si="1"/>
        <v>0</v>
      </c>
      <c r="M23" s="23">
        <f t="shared" si="2"/>
        <v>0</v>
      </c>
      <c r="N23" s="24" t="e">
        <f>M23-#REF!</f>
        <v>#REF!</v>
      </c>
      <c r="O23" s="2"/>
    </row>
    <row r="24" spans="1:15" x14ac:dyDescent="0.35">
      <c r="A24" s="2">
        <v>13</v>
      </c>
      <c r="B24" s="2"/>
      <c r="C24" s="2"/>
      <c r="D24" s="2"/>
      <c r="E24" s="16"/>
      <c r="F24" s="16">
        <f t="shared" si="6"/>
        <v>0</v>
      </c>
      <c r="G24" s="26"/>
      <c r="H24" s="26"/>
      <c r="I24" s="6">
        <f t="shared" si="7"/>
        <v>0</v>
      </c>
      <c r="J24" s="6">
        <f t="shared" si="8"/>
        <v>0</v>
      </c>
      <c r="K24" s="6">
        <f t="shared" si="9"/>
        <v>0</v>
      </c>
      <c r="L24" s="14">
        <f t="shared" si="1"/>
        <v>0</v>
      </c>
      <c r="M24" s="23">
        <f t="shared" si="2"/>
        <v>0</v>
      </c>
      <c r="N24" s="24" t="e">
        <f>M24-#REF!</f>
        <v>#REF!</v>
      </c>
      <c r="O24" s="2"/>
    </row>
    <row r="25" spans="1:15" x14ac:dyDescent="0.35">
      <c r="A25" s="2">
        <v>14</v>
      </c>
      <c r="B25" s="2"/>
      <c r="C25" s="2"/>
      <c r="D25" s="2"/>
      <c r="E25" s="6"/>
      <c r="F25" s="6">
        <f t="shared" si="6"/>
        <v>0</v>
      </c>
      <c r="G25" s="26"/>
      <c r="H25" s="26"/>
      <c r="I25" s="6">
        <f t="shared" si="7"/>
        <v>0</v>
      </c>
      <c r="J25" s="6">
        <f t="shared" si="8"/>
        <v>0</v>
      </c>
      <c r="K25" s="6">
        <f t="shared" si="9"/>
        <v>0</v>
      </c>
      <c r="L25" s="14">
        <f t="shared" si="1"/>
        <v>0</v>
      </c>
      <c r="M25" s="23">
        <f t="shared" si="2"/>
        <v>0</v>
      </c>
      <c r="N25" s="24" t="e">
        <f>M25-#REF!</f>
        <v>#REF!</v>
      </c>
      <c r="O25" s="2"/>
    </row>
    <row r="26" spans="1:15" x14ac:dyDescent="0.35">
      <c r="A26" s="2">
        <v>15</v>
      </c>
      <c r="B26" s="2"/>
      <c r="C26" s="2"/>
      <c r="D26" s="2"/>
      <c r="E26" s="6"/>
      <c r="F26" s="6">
        <f t="shared" si="6"/>
        <v>0</v>
      </c>
      <c r="G26" s="25"/>
      <c r="H26" s="25"/>
      <c r="I26" s="6">
        <f t="shared" si="7"/>
        <v>0</v>
      </c>
      <c r="J26" s="6">
        <f t="shared" si="8"/>
        <v>0</v>
      </c>
      <c r="K26" s="6">
        <f t="shared" si="9"/>
        <v>0</v>
      </c>
      <c r="L26" s="14">
        <f t="shared" si="1"/>
        <v>0</v>
      </c>
      <c r="M26" s="23">
        <f t="shared" si="2"/>
        <v>0</v>
      </c>
      <c r="N26" s="24" t="e">
        <f>M26-#REF!</f>
        <v>#REF!</v>
      </c>
      <c r="O26" s="2"/>
    </row>
    <row r="27" spans="1:15" x14ac:dyDescent="0.35">
      <c r="A27" s="2">
        <v>16</v>
      </c>
      <c r="B27" s="2"/>
      <c r="C27" s="2"/>
      <c r="D27" s="2"/>
      <c r="E27" s="6"/>
      <c r="F27" s="6">
        <f t="shared" si="6"/>
        <v>0</v>
      </c>
      <c r="G27" s="25"/>
      <c r="H27" s="25"/>
      <c r="I27" s="6">
        <f t="shared" si="7"/>
        <v>0</v>
      </c>
      <c r="J27" s="6">
        <f t="shared" si="8"/>
        <v>0</v>
      </c>
      <c r="K27" s="6">
        <f t="shared" si="9"/>
        <v>0</v>
      </c>
      <c r="L27" s="14">
        <f t="shared" si="1"/>
        <v>0</v>
      </c>
      <c r="M27" s="23">
        <f t="shared" si="2"/>
        <v>0</v>
      </c>
      <c r="N27" s="24" t="e">
        <f>M27-#REF!</f>
        <v>#REF!</v>
      </c>
      <c r="O27" s="2"/>
    </row>
    <row r="28" spans="1:15" x14ac:dyDescent="0.35">
      <c r="A28" s="2">
        <v>17</v>
      </c>
      <c r="B28" s="2"/>
      <c r="C28" s="2"/>
      <c r="D28" s="2"/>
      <c r="E28" s="6"/>
      <c r="F28" s="6">
        <f t="shared" si="6"/>
        <v>0</v>
      </c>
      <c r="G28" s="25"/>
      <c r="H28" s="25"/>
      <c r="I28" s="6">
        <f t="shared" si="7"/>
        <v>0</v>
      </c>
      <c r="J28" s="6">
        <f t="shared" si="8"/>
        <v>0</v>
      </c>
      <c r="K28" s="6">
        <f t="shared" si="9"/>
        <v>0</v>
      </c>
      <c r="L28" s="14">
        <f t="shared" si="1"/>
        <v>0</v>
      </c>
      <c r="M28" s="23">
        <f t="shared" si="2"/>
        <v>0</v>
      </c>
      <c r="N28" s="24" t="e">
        <f>M28-#REF!</f>
        <v>#REF!</v>
      </c>
      <c r="O28" s="2"/>
    </row>
    <row r="29" spans="1:15" x14ac:dyDescent="0.35">
      <c r="A29" s="15">
        <v>18</v>
      </c>
      <c r="B29" s="15"/>
      <c r="C29" s="15"/>
      <c r="D29" s="15"/>
      <c r="E29" s="6"/>
      <c r="F29" s="6">
        <f t="shared" si="6"/>
        <v>0</v>
      </c>
      <c r="G29" s="27"/>
      <c r="H29" s="27"/>
      <c r="I29" s="16">
        <f t="shared" si="7"/>
        <v>0</v>
      </c>
      <c r="J29" s="16">
        <f t="shared" si="8"/>
        <v>0</v>
      </c>
      <c r="K29" s="6">
        <f t="shared" si="9"/>
        <v>0</v>
      </c>
      <c r="L29" s="14">
        <f t="shared" si="1"/>
        <v>0</v>
      </c>
      <c r="M29" s="23">
        <f t="shared" si="2"/>
        <v>0</v>
      </c>
      <c r="N29" s="24" t="e">
        <f>M29-#REF!</f>
        <v>#REF!</v>
      </c>
      <c r="O29" s="2"/>
    </row>
    <row r="30" spans="1:15" x14ac:dyDescent="0.35">
      <c r="A30" s="2">
        <v>19</v>
      </c>
      <c r="B30" s="2"/>
      <c r="C30" s="2"/>
      <c r="D30" s="2"/>
      <c r="E30" s="6"/>
      <c r="F30" s="6">
        <f t="shared" si="6"/>
        <v>0</v>
      </c>
      <c r="G30" s="25"/>
      <c r="H30" s="25"/>
      <c r="I30" s="6">
        <f t="shared" si="7"/>
        <v>0</v>
      </c>
      <c r="J30" s="6">
        <f t="shared" si="8"/>
        <v>0</v>
      </c>
      <c r="K30" s="6">
        <f t="shared" si="9"/>
        <v>0</v>
      </c>
      <c r="L30" s="14">
        <f t="shared" si="1"/>
        <v>0</v>
      </c>
      <c r="M30" s="23">
        <f t="shared" si="2"/>
        <v>0</v>
      </c>
      <c r="N30" s="24" t="e">
        <f>M30-#REF!</f>
        <v>#REF!</v>
      </c>
      <c r="O30" s="2"/>
    </row>
    <row r="31" spans="1:15" x14ac:dyDescent="0.35">
      <c r="A31" s="2">
        <v>20</v>
      </c>
      <c r="B31" s="2"/>
      <c r="C31" s="2"/>
      <c r="D31" s="2"/>
      <c r="E31" s="6"/>
      <c r="F31" s="6">
        <f t="shared" si="6"/>
        <v>0</v>
      </c>
      <c r="G31" s="25"/>
      <c r="H31" s="25"/>
      <c r="I31" s="6">
        <f t="shared" ref="I31:I44" si="10">H31-G31</f>
        <v>0</v>
      </c>
      <c r="J31" s="6">
        <f t="shared" ref="J31:J44" si="11">I31*$M$6</f>
        <v>0</v>
      </c>
      <c r="K31" s="6">
        <f t="shared" si="9"/>
        <v>0</v>
      </c>
      <c r="L31" s="14">
        <f t="shared" si="1"/>
        <v>0</v>
      </c>
      <c r="M31" s="23">
        <f t="shared" si="2"/>
        <v>0</v>
      </c>
      <c r="N31" s="24" t="e">
        <f>M31-#REF!</f>
        <v>#REF!</v>
      </c>
      <c r="O31" s="2"/>
    </row>
    <row r="32" spans="1:15" x14ac:dyDescent="0.35">
      <c r="A32" s="2">
        <v>21</v>
      </c>
      <c r="B32" s="2"/>
      <c r="C32" s="2"/>
      <c r="D32" s="2"/>
      <c r="E32" s="6"/>
      <c r="F32" s="6">
        <f t="shared" si="6"/>
        <v>0</v>
      </c>
      <c r="G32" s="25"/>
      <c r="H32" s="25"/>
      <c r="I32" s="6">
        <f t="shared" si="10"/>
        <v>0</v>
      </c>
      <c r="J32" s="6">
        <f t="shared" si="11"/>
        <v>0</v>
      </c>
      <c r="K32" s="6">
        <f t="shared" si="9"/>
        <v>0</v>
      </c>
      <c r="L32" s="14">
        <f t="shared" si="1"/>
        <v>0</v>
      </c>
      <c r="M32" s="23">
        <f t="shared" si="2"/>
        <v>0</v>
      </c>
      <c r="N32" s="24" t="e">
        <f>M32-#REF!</f>
        <v>#REF!</v>
      </c>
      <c r="O32" s="2"/>
    </row>
    <row r="33" spans="1:15" x14ac:dyDescent="0.35">
      <c r="A33" s="2">
        <v>22</v>
      </c>
      <c r="B33" s="2"/>
      <c r="C33" s="2"/>
      <c r="D33" s="2"/>
      <c r="E33" s="6"/>
      <c r="F33" s="6">
        <f t="shared" si="6"/>
        <v>0</v>
      </c>
      <c r="G33" s="25"/>
      <c r="H33" s="25"/>
      <c r="I33" s="6">
        <f t="shared" si="10"/>
        <v>0</v>
      </c>
      <c r="J33" s="6">
        <f t="shared" si="11"/>
        <v>0</v>
      </c>
      <c r="K33" s="6">
        <f t="shared" si="9"/>
        <v>0</v>
      </c>
      <c r="L33" s="14">
        <f t="shared" si="1"/>
        <v>0</v>
      </c>
      <c r="M33" s="23">
        <f t="shared" si="2"/>
        <v>0</v>
      </c>
      <c r="N33" s="24" t="e">
        <f>M33-#REF!</f>
        <v>#REF!</v>
      </c>
      <c r="O33" s="2"/>
    </row>
    <row r="34" spans="1:15" x14ac:dyDescent="0.35">
      <c r="A34" s="2">
        <v>23</v>
      </c>
      <c r="B34" s="2"/>
      <c r="C34" s="2"/>
      <c r="D34" s="2"/>
      <c r="E34" s="6"/>
      <c r="F34" s="6">
        <f t="shared" si="6"/>
        <v>0</v>
      </c>
      <c r="G34" s="25"/>
      <c r="H34" s="25"/>
      <c r="I34" s="6">
        <f t="shared" si="10"/>
        <v>0</v>
      </c>
      <c r="J34" s="6">
        <f t="shared" si="11"/>
        <v>0</v>
      </c>
      <c r="K34" s="6">
        <f t="shared" si="9"/>
        <v>0</v>
      </c>
      <c r="L34" s="14">
        <f t="shared" si="1"/>
        <v>0</v>
      </c>
      <c r="M34" s="23">
        <f t="shared" si="2"/>
        <v>0</v>
      </c>
      <c r="N34" s="24" t="e">
        <f>M34-#REF!</f>
        <v>#REF!</v>
      </c>
      <c r="O34" s="2"/>
    </row>
    <row r="35" spans="1:15" x14ac:dyDescent="0.35">
      <c r="A35" s="2">
        <v>24</v>
      </c>
      <c r="B35" s="2"/>
      <c r="C35" s="2"/>
      <c r="D35" s="2"/>
      <c r="E35" s="16"/>
      <c r="F35" s="16">
        <f t="shared" si="6"/>
        <v>0</v>
      </c>
      <c r="G35" s="25"/>
      <c r="H35" s="25"/>
      <c r="I35" s="6">
        <f t="shared" si="10"/>
        <v>0</v>
      </c>
      <c r="J35" s="6">
        <f t="shared" si="11"/>
        <v>0</v>
      </c>
      <c r="K35" s="6">
        <f t="shared" si="9"/>
        <v>0</v>
      </c>
      <c r="L35" s="14">
        <f t="shared" si="1"/>
        <v>0</v>
      </c>
      <c r="M35" s="23">
        <f t="shared" si="2"/>
        <v>0</v>
      </c>
      <c r="N35" s="24" t="e">
        <f>M35-#REF!</f>
        <v>#REF!</v>
      </c>
      <c r="O35" s="2"/>
    </row>
    <row r="36" spans="1:15" x14ac:dyDescent="0.35">
      <c r="A36" s="2">
        <v>25</v>
      </c>
      <c r="B36" s="2"/>
      <c r="C36" s="2"/>
      <c r="D36" s="2"/>
      <c r="E36" s="6"/>
      <c r="F36" s="6">
        <f t="shared" si="6"/>
        <v>0</v>
      </c>
      <c r="G36" s="25"/>
      <c r="H36" s="25"/>
      <c r="I36" s="6">
        <f t="shared" si="10"/>
        <v>0</v>
      </c>
      <c r="J36" s="6">
        <f t="shared" si="11"/>
        <v>0</v>
      </c>
      <c r="K36" s="6">
        <f t="shared" si="9"/>
        <v>0</v>
      </c>
      <c r="L36" s="14">
        <f t="shared" si="1"/>
        <v>0</v>
      </c>
      <c r="M36" s="23">
        <f t="shared" si="2"/>
        <v>0</v>
      </c>
      <c r="N36" s="24" t="e">
        <f>M36-#REF!</f>
        <v>#REF!</v>
      </c>
      <c r="O36" s="2"/>
    </row>
    <row r="37" spans="1:15" x14ac:dyDescent="0.35">
      <c r="A37" s="2">
        <v>26</v>
      </c>
      <c r="B37" s="2"/>
      <c r="C37" s="2"/>
      <c r="D37" s="2"/>
      <c r="E37" s="6"/>
      <c r="F37" s="6">
        <f t="shared" si="6"/>
        <v>0</v>
      </c>
      <c r="G37" s="25"/>
      <c r="H37" s="25"/>
      <c r="I37" s="6">
        <f t="shared" si="10"/>
        <v>0</v>
      </c>
      <c r="J37" s="6">
        <f t="shared" si="11"/>
        <v>0</v>
      </c>
      <c r="K37" s="6">
        <f t="shared" si="9"/>
        <v>0</v>
      </c>
      <c r="L37" s="14">
        <f t="shared" si="1"/>
        <v>0</v>
      </c>
      <c r="M37" s="23">
        <f t="shared" si="2"/>
        <v>0</v>
      </c>
      <c r="N37" s="24" t="e">
        <f>M37-#REF!</f>
        <v>#REF!</v>
      </c>
      <c r="O37" s="2"/>
    </row>
    <row r="38" spans="1:15" x14ac:dyDescent="0.35">
      <c r="A38" s="2">
        <v>27</v>
      </c>
      <c r="B38" s="2"/>
      <c r="C38" s="2"/>
      <c r="D38" s="2"/>
      <c r="E38" s="6"/>
      <c r="F38" s="6">
        <f t="shared" si="6"/>
        <v>0</v>
      </c>
      <c r="G38" s="25"/>
      <c r="H38" s="25"/>
      <c r="I38" s="6">
        <f t="shared" si="10"/>
        <v>0</v>
      </c>
      <c r="J38" s="6">
        <f t="shared" si="11"/>
        <v>0</v>
      </c>
      <c r="K38" s="6">
        <f t="shared" si="9"/>
        <v>0</v>
      </c>
      <c r="L38" s="14">
        <f t="shared" si="1"/>
        <v>0</v>
      </c>
      <c r="M38" s="23">
        <f t="shared" si="2"/>
        <v>0</v>
      </c>
      <c r="N38" s="24" t="e">
        <f>M38-#REF!</f>
        <v>#REF!</v>
      </c>
      <c r="O38" s="2"/>
    </row>
    <row r="39" spans="1:15" x14ac:dyDescent="0.35">
      <c r="A39" s="2">
        <v>28</v>
      </c>
      <c r="B39" s="2"/>
      <c r="C39" s="2"/>
      <c r="D39" s="2"/>
      <c r="E39" s="6"/>
      <c r="F39" s="6">
        <f t="shared" si="6"/>
        <v>0</v>
      </c>
      <c r="G39" s="25"/>
      <c r="H39" s="25"/>
      <c r="I39" s="6">
        <f t="shared" si="10"/>
        <v>0</v>
      </c>
      <c r="J39" s="6">
        <f t="shared" si="11"/>
        <v>0</v>
      </c>
      <c r="K39" s="6">
        <f t="shared" si="9"/>
        <v>0</v>
      </c>
      <c r="L39" s="14">
        <f t="shared" si="1"/>
        <v>0</v>
      </c>
      <c r="M39" s="23">
        <f t="shared" si="2"/>
        <v>0</v>
      </c>
      <c r="N39" s="24" t="e">
        <f>M39-#REF!</f>
        <v>#REF!</v>
      </c>
      <c r="O39" s="2"/>
    </row>
    <row r="40" spans="1:15" x14ac:dyDescent="0.35">
      <c r="A40" s="2">
        <v>29</v>
      </c>
      <c r="B40" s="2"/>
      <c r="C40" s="2"/>
      <c r="D40" s="2"/>
      <c r="E40" s="6"/>
      <c r="F40" s="6">
        <f t="shared" si="6"/>
        <v>0</v>
      </c>
      <c r="G40" s="25"/>
      <c r="H40" s="25"/>
      <c r="I40" s="6">
        <f t="shared" si="10"/>
        <v>0</v>
      </c>
      <c r="J40" s="6">
        <f t="shared" si="11"/>
        <v>0</v>
      </c>
      <c r="K40" s="6">
        <f t="shared" si="9"/>
        <v>0</v>
      </c>
      <c r="L40" s="14">
        <f t="shared" si="1"/>
        <v>0</v>
      </c>
      <c r="M40" s="23">
        <f t="shared" si="2"/>
        <v>0</v>
      </c>
      <c r="N40" s="24" t="e">
        <f>M40-#REF!</f>
        <v>#REF!</v>
      </c>
      <c r="O40" s="2"/>
    </row>
    <row r="41" spans="1:15" x14ac:dyDescent="0.35">
      <c r="A41" s="2">
        <v>30</v>
      </c>
      <c r="B41" s="2"/>
      <c r="C41" s="2"/>
      <c r="D41" s="2"/>
      <c r="E41" s="6"/>
      <c r="F41" s="6">
        <f t="shared" si="6"/>
        <v>0</v>
      </c>
      <c r="G41" s="25"/>
      <c r="H41" s="25"/>
      <c r="I41" s="6">
        <f t="shared" si="10"/>
        <v>0</v>
      </c>
      <c r="J41" s="6">
        <f t="shared" si="11"/>
        <v>0</v>
      </c>
      <c r="K41" s="6">
        <f t="shared" si="9"/>
        <v>0</v>
      </c>
      <c r="L41" s="14">
        <f t="shared" si="1"/>
        <v>0</v>
      </c>
      <c r="M41" s="23">
        <f t="shared" si="2"/>
        <v>0</v>
      </c>
      <c r="N41" s="24" t="e">
        <f>M41-#REF!</f>
        <v>#REF!</v>
      </c>
      <c r="O41" s="2"/>
    </row>
    <row r="42" spans="1:15" x14ac:dyDescent="0.35">
      <c r="A42" s="2">
        <v>31</v>
      </c>
      <c r="B42" s="2"/>
      <c r="C42" s="2"/>
      <c r="D42" s="2"/>
      <c r="E42" s="6"/>
      <c r="F42" s="6">
        <f t="shared" si="6"/>
        <v>0</v>
      </c>
      <c r="G42" s="25"/>
      <c r="H42" s="25"/>
      <c r="I42" s="6">
        <f t="shared" si="10"/>
        <v>0</v>
      </c>
      <c r="J42" s="6">
        <f t="shared" si="11"/>
        <v>0</v>
      </c>
      <c r="K42" s="6">
        <f t="shared" si="9"/>
        <v>0</v>
      </c>
      <c r="L42" s="14">
        <f t="shared" si="1"/>
        <v>0</v>
      </c>
      <c r="M42" s="23">
        <f t="shared" si="2"/>
        <v>0</v>
      </c>
      <c r="N42" s="24" t="e">
        <f>M42-#REF!</f>
        <v>#REF!</v>
      </c>
      <c r="O42" s="2"/>
    </row>
    <row r="43" spans="1:15" x14ac:dyDescent="0.35">
      <c r="A43" s="2">
        <v>32</v>
      </c>
      <c r="B43" s="2"/>
      <c r="C43" s="2"/>
      <c r="D43" s="2"/>
      <c r="E43" s="6"/>
      <c r="F43" s="6">
        <f t="shared" si="6"/>
        <v>0</v>
      </c>
      <c r="G43" s="25"/>
      <c r="H43" s="25"/>
      <c r="I43" s="6">
        <f t="shared" si="10"/>
        <v>0</v>
      </c>
      <c r="J43" s="6">
        <f t="shared" si="11"/>
        <v>0</v>
      </c>
      <c r="K43" s="6">
        <f t="shared" si="9"/>
        <v>0</v>
      </c>
      <c r="L43" s="14">
        <f t="shared" si="1"/>
        <v>0</v>
      </c>
      <c r="M43" s="23">
        <f t="shared" si="2"/>
        <v>0</v>
      </c>
      <c r="N43" s="24" t="e">
        <f>M43-#REF!</f>
        <v>#REF!</v>
      </c>
      <c r="O43" s="2"/>
    </row>
    <row r="44" spans="1:15" x14ac:dyDescent="0.35">
      <c r="A44" s="2">
        <v>33</v>
      </c>
      <c r="B44" s="2"/>
      <c r="C44" s="2"/>
      <c r="D44" s="2"/>
      <c r="E44" s="6"/>
      <c r="F44" s="6">
        <f t="shared" si="6"/>
        <v>0</v>
      </c>
      <c r="G44" s="25"/>
      <c r="H44" s="25"/>
      <c r="I44" s="6">
        <f t="shared" si="10"/>
        <v>0</v>
      </c>
      <c r="J44" s="6">
        <f t="shared" si="11"/>
        <v>0</v>
      </c>
      <c r="K44" s="6">
        <f t="shared" si="9"/>
        <v>0</v>
      </c>
      <c r="L44" s="14">
        <f t="shared" si="1"/>
        <v>0</v>
      </c>
      <c r="M44" s="23">
        <f t="shared" si="2"/>
        <v>0</v>
      </c>
      <c r="N44" s="24" t="e">
        <f>M44-#REF!</f>
        <v>#REF!</v>
      </c>
      <c r="O44" s="2"/>
    </row>
  </sheetData>
  <mergeCells count="10">
    <mergeCell ref="A11:D11"/>
    <mergeCell ref="L8:N8"/>
    <mergeCell ref="A2:O2"/>
    <mergeCell ref="A3:O3"/>
    <mergeCell ref="A4:O4"/>
    <mergeCell ref="F8:K8"/>
    <mergeCell ref="O8:O9"/>
    <mergeCell ref="A8:A9"/>
    <mergeCell ref="B8:E8"/>
    <mergeCell ref="J6:K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tabSelected="1" view="pageBreakPreview" zoomScale="82" zoomScaleNormal="100" zoomScaleSheetLayoutView="82" workbookViewId="0">
      <selection activeCell="J7" sqref="J7"/>
    </sheetView>
  </sheetViews>
  <sheetFormatPr defaultColWidth="8.81640625" defaultRowHeight="16.5" x14ac:dyDescent="0.35"/>
  <cols>
    <col min="1" max="1" width="6" style="18" customWidth="1"/>
    <col min="2" max="2" width="33.1796875" style="18" customWidth="1"/>
    <col min="3" max="3" width="18.6328125" style="18" customWidth="1"/>
    <col min="4" max="4" width="15" style="18" customWidth="1"/>
    <col min="5" max="5" width="12.1796875" style="18" customWidth="1"/>
    <col min="6" max="6" width="9.81640625" style="18" customWidth="1"/>
    <col min="7" max="7" width="15" style="18" customWidth="1"/>
    <col min="8" max="16384" width="8.81640625" style="18"/>
  </cols>
  <sheetData>
    <row r="1" spans="1:8" ht="18" x14ac:dyDescent="0.4">
      <c r="B1" s="19" t="s">
        <v>82</v>
      </c>
    </row>
    <row r="2" spans="1:8" ht="18" x14ac:dyDescent="0.4">
      <c r="B2" s="19" t="s">
        <v>83</v>
      </c>
    </row>
    <row r="4" spans="1:8" x14ac:dyDescent="0.35">
      <c r="B4" s="33" t="s">
        <v>63</v>
      </c>
      <c r="C4" s="43"/>
      <c r="F4" s="18" t="s">
        <v>78</v>
      </c>
    </row>
    <row r="5" spans="1:8" ht="7.75" customHeight="1" x14ac:dyDescent="0.35"/>
    <row r="6" spans="1:8" ht="21.65" customHeight="1" x14ac:dyDescent="0.45">
      <c r="A6" s="86" t="s">
        <v>24</v>
      </c>
      <c r="B6" s="86"/>
      <c r="C6" s="86"/>
      <c r="D6" s="86"/>
      <c r="E6" s="86"/>
      <c r="F6" s="86"/>
      <c r="G6" s="86"/>
    </row>
    <row r="7" spans="1:8" x14ac:dyDescent="0.35">
      <c r="F7" s="30"/>
      <c r="G7" s="30"/>
    </row>
    <row r="8" spans="1:8" x14ac:dyDescent="0.35">
      <c r="A8" s="18" t="s">
        <v>54</v>
      </c>
    </row>
    <row r="9" spans="1:8" x14ac:dyDescent="0.35">
      <c r="A9" s="18" t="s">
        <v>55</v>
      </c>
    </row>
    <row r="10" spans="1:8" x14ac:dyDescent="0.35">
      <c r="A10" s="18" t="s">
        <v>56</v>
      </c>
    </row>
    <row r="11" spans="1:8" x14ac:dyDescent="0.35">
      <c r="A11" s="18" t="s">
        <v>57</v>
      </c>
    </row>
    <row r="12" spans="1:8" ht="6.25" customHeight="1" x14ac:dyDescent="0.4">
      <c r="A12" s="29"/>
      <c r="B12" s="19"/>
      <c r="C12" s="19"/>
      <c r="D12" s="19"/>
      <c r="E12" s="19"/>
      <c r="F12" s="19"/>
      <c r="G12" s="19"/>
      <c r="H12" s="19"/>
    </row>
    <row r="13" spans="1:8" ht="34.25" customHeight="1" x14ac:dyDescent="0.4">
      <c r="A13" s="78" t="s">
        <v>65</v>
      </c>
      <c r="B13" s="78"/>
      <c r="C13" s="78"/>
      <c r="D13" s="77" t="s">
        <v>66</v>
      </c>
      <c r="E13" s="77"/>
      <c r="F13" s="77" t="s">
        <v>64</v>
      </c>
      <c r="G13" s="77"/>
      <c r="H13" s="19"/>
    </row>
    <row r="14" spans="1:8" s="32" customFormat="1" x14ac:dyDescent="0.35">
      <c r="A14" s="58" t="s">
        <v>69</v>
      </c>
      <c r="B14" s="59"/>
      <c r="C14" s="60"/>
      <c r="D14" s="62"/>
      <c r="E14" s="63"/>
      <c r="F14" s="64"/>
      <c r="G14" s="34" t="s">
        <v>21</v>
      </c>
    </row>
    <row r="15" spans="1:8" s="32" customFormat="1" x14ac:dyDescent="0.35">
      <c r="A15" s="96" t="s">
        <v>77</v>
      </c>
      <c r="B15" s="97"/>
      <c r="C15" s="98"/>
      <c r="D15" s="68"/>
      <c r="E15" s="69"/>
      <c r="F15" s="70"/>
      <c r="G15" s="36" t="s">
        <v>21</v>
      </c>
    </row>
    <row r="16" spans="1:8" s="32" customFormat="1" x14ac:dyDescent="0.35">
      <c r="A16" s="96" t="s">
        <v>76</v>
      </c>
      <c r="B16" s="97"/>
      <c r="C16" s="98"/>
      <c r="D16" s="68"/>
      <c r="E16" s="69"/>
      <c r="F16" s="70"/>
      <c r="G16" s="36" t="s">
        <v>21</v>
      </c>
    </row>
    <row r="17" spans="1:7" s="32" customFormat="1" x14ac:dyDescent="0.35">
      <c r="A17" s="58" t="s">
        <v>70</v>
      </c>
      <c r="B17" s="59"/>
      <c r="C17" s="60"/>
      <c r="D17" s="35"/>
      <c r="E17" s="34" t="s">
        <v>67</v>
      </c>
      <c r="F17" s="35"/>
      <c r="G17" s="34" t="s">
        <v>18</v>
      </c>
    </row>
    <row r="18" spans="1:7" s="32" customFormat="1" x14ac:dyDescent="0.35">
      <c r="A18" s="58" t="s">
        <v>71</v>
      </c>
      <c r="B18" s="59"/>
      <c r="C18" s="60"/>
      <c r="D18" s="35"/>
      <c r="E18" s="34" t="s">
        <v>68</v>
      </c>
      <c r="F18" s="35"/>
      <c r="G18" s="34" t="s">
        <v>29</v>
      </c>
    </row>
    <row r="19" spans="1:7" s="32" customFormat="1" x14ac:dyDescent="0.35">
      <c r="A19" s="58" t="s">
        <v>72</v>
      </c>
      <c r="B19" s="59"/>
      <c r="C19" s="60"/>
      <c r="D19" s="35"/>
      <c r="E19" s="34" t="s">
        <v>68</v>
      </c>
      <c r="F19" s="35"/>
      <c r="G19" s="34" t="s">
        <v>29</v>
      </c>
    </row>
    <row r="20" spans="1:7" s="32" customFormat="1" x14ac:dyDescent="0.35">
      <c r="A20" s="58" t="s">
        <v>73</v>
      </c>
      <c r="B20" s="59"/>
      <c r="C20" s="60"/>
      <c r="D20" s="35"/>
      <c r="E20" s="34" t="s">
        <v>68</v>
      </c>
      <c r="F20" s="35"/>
      <c r="G20" s="34" t="s">
        <v>29</v>
      </c>
    </row>
    <row r="21" spans="1:7" s="32" customFormat="1" x14ac:dyDescent="0.35">
      <c r="A21" s="58" t="s">
        <v>74</v>
      </c>
      <c r="B21" s="59"/>
      <c r="C21" s="60"/>
      <c r="D21" s="35"/>
      <c r="E21" s="34" t="s">
        <v>21</v>
      </c>
      <c r="F21" s="35"/>
      <c r="G21" s="34" t="s">
        <v>21</v>
      </c>
    </row>
    <row r="22" spans="1:7" s="32" customFormat="1" x14ac:dyDescent="0.35">
      <c r="A22" s="74" t="s">
        <v>80</v>
      </c>
      <c r="B22" s="75"/>
      <c r="C22" s="76"/>
      <c r="D22" s="71"/>
      <c r="E22" s="72"/>
      <c r="F22" s="73"/>
      <c r="G22" s="39" t="s">
        <v>21</v>
      </c>
    </row>
    <row r="23" spans="1:7" s="32" customFormat="1" x14ac:dyDescent="0.35">
      <c r="A23" s="58" t="s">
        <v>79</v>
      </c>
      <c r="B23" s="59"/>
      <c r="C23" s="60"/>
      <c r="D23" s="62"/>
      <c r="E23" s="63"/>
      <c r="F23" s="64"/>
      <c r="G23" s="34" t="s">
        <v>21</v>
      </c>
    </row>
    <row r="24" spans="1:7" s="32" customFormat="1" x14ac:dyDescent="0.35">
      <c r="A24" s="58" t="s">
        <v>75</v>
      </c>
      <c r="B24" s="59"/>
      <c r="C24" s="60"/>
      <c r="D24" s="65"/>
      <c r="E24" s="66"/>
      <c r="F24" s="67"/>
      <c r="G24" s="34" t="s">
        <v>29</v>
      </c>
    </row>
    <row r="25" spans="1:7" x14ac:dyDescent="0.35">
      <c r="A25" s="61" t="s">
        <v>23</v>
      </c>
      <c r="B25" s="61"/>
      <c r="C25" s="61"/>
      <c r="D25" s="61"/>
      <c r="E25" s="61"/>
      <c r="F25" s="61"/>
      <c r="G25" s="61"/>
    </row>
    <row r="26" spans="1:7" ht="51" customHeight="1" x14ac:dyDescent="0.35">
      <c r="A26" s="57" t="s">
        <v>84</v>
      </c>
      <c r="B26" s="57"/>
      <c r="C26" s="57"/>
      <c r="D26" s="57"/>
      <c r="E26" s="57"/>
      <c r="F26" s="57"/>
      <c r="G26" s="57"/>
    </row>
    <row r="27" spans="1:7" ht="5" customHeight="1" x14ac:dyDescent="0.35">
      <c r="A27" s="1"/>
      <c r="B27" s="1"/>
      <c r="C27" s="1"/>
      <c r="D27" s="1"/>
      <c r="E27" s="1"/>
      <c r="F27" s="1"/>
      <c r="G27" s="1"/>
    </row>
    <row r="28" spans="1:7" ht="36" customHeight="1" x14ac:dyDescent="0.35">
      <c r="A28" s="3" t="s">
        <v>0</v>
      </c>
      <c r="B28" s="3" t="s">
        <v>25</v>
      </c>
      <c r="C28" s="3" t="s">
        <v>28</v>
      </c>
      <c r="D28" s="3" t="s">
        <v>26</v>
      </c>
      <c r="E28" s="3" t="s">
        <v>27</v>
      </c>
      <c r="F28" s="55" t="s">
        <v>8</v>
      </c>
      <c r="G28" s="55"/>
    </row>
    <row r="29" spans="1:7" x14ac:dyDescent="0.35">
      <c r="A29" s="37">
        <v>1</v>
      </c>
      <c r="B29" s="37" t="s">
        <v>51</v>
      </c>
      <c r="C29" s="38"/>
      <c r="D29" s="37"/>
      <c r="E29" s="37"/>
      <c r="F29" s="87"/>
      <c r="G29" s="87"/>
    </row>
    <row r="30" spans="1:7" ht="7.4" customHeight="1" x14ac:dyDescent="0.35"/>
    <row r="31" spans="1:7" x14ac:dyDescent="0.35">
      <c r="A31" s="89" t="s">
        <v>81</v>
      </c>
      <c r="B31" s="89"/>
      <c r="C31" s="89"/>
      <c r="D31" s="89"/>
      <c r="E31" s="89"/>
      <c r="F31" s="89"/>
      <c r="G31" s="89"/>
    </row>
    <row r="32" spans="1:7" x14ac:dyDescent="0.35">
      <c r="A32" s="31"/>
      <c r="B32" s="31"/>
      <c r="C32" s="31"/>
      <c r="D32" s="31"/>
      <c r="E32" s="31"/>
      <c r="F32" s="31"/>
      <c r="G32" s="31"/>
    </row>
    <row r="33" spans="1:7" ht="16.75" customHeight="1" x14ac:dyDescent="0.35">
      <c r="A33" s="31"/>
      <c r="B33" s="31"/>
      <c r="C33" s="31"/>
      <c r="D33" s="31"/>
      <c r="E33" s="31"/>
      <c r="F33" s="31"/>
      <c r="G33" s="31"/>
    </row>
    <row r="34" spans="1:7" x14ac:dyDescent="0.35">
      <c r="A34" s="31"/>
      <c r="B34" s="31"/>
      <c r="C34" s="31"/>
      <c r="D34" s="31"/>
      <c r="E34" s="31"/>
      <c r="F34" s="31"/>
      <c r="G34" s="31"/>
    </row>
    <row r="36" spans="1:7" s="32" customFormat="1" x14ac:dyDescent="0.35">
      <c r="A36" s="90" t="s">
        <v>58</v>
      </c>
      <c r="B36" s="90"/>
      <c r="C36" s="90"/>
      <c r="D36" s="90"/>
      <c r="E36" s="90"/>
      <c r="F36" s="90"/>
      <c r="G36" s="90"/>
    </row>
    <row r="37" spans="1:7" s="32" customFormat="1" x14ac:dyDescent="0.35">
      <c r="A37" s="90"/>
      <c r="B37" s="90"/>
      <c r="C37" s="90"/>
      <c r="D37" s="90"/>
      <c r="E37" s="90"/>
      <c r="F37" s="90"/>
      <c r="G37" s="90"/>
    </row>
    <row r="38" spans="1:7" s="32" customFormat="1" x14ac:dyDescent="0.35">
      <c r="A38" s="90"/>
      <c r="B38" s="90"/>
      <c r="C38" s="90"/>
      <c r="D38" s="90"/>
      <c r="E38" s="90"/>
      <c r="F38" s="90"/>
      <c r="G38" s="90"/>
    </row>
    <row r="39" spans="1:7" s="32" customFormat="1" x14ac:dyDescent="0.35">
      <c r="A39" s="90"/>
      <c r="B39" s="90"/>
      <c r="C39" s="90"/>
      <c r="D39" s="90"/>
      <c r="E39" s="90"/>
      <c r="F39" s="90"/>
      <c r="G39" s="90"/>
    </row>
    <row r="40" spans="1:7" s="32" customFormat="1" x14ac:dyDescent="0.35">
      <c r="A40" s="90"/>
      <c r="B40" s="90"/>
      <c r="C40" s="90"/>
      <c r="D40" s="90"/>
      <c r="E40" s="90"/>
      <c r="F40" s="90"/>
      <c r="G40" s="90"/>
    </row>
    <row r="41" spans="1:7" s="32" customFormat="1" ht="17" thickBot="1" x14ac:dyDescent="0.4">
      <c r="A41" s="91" t="s">
        <v>59</v>
      </c>
      <c r="B41" s="91"/>
      <c r="C41" s="91"/>
      <c r="D41" s="91"/>
      <c r="E41" s="91"/>
      <c r="F41" s="91"/>
      <c r="G41" s="91"/>
    </row>
    <row r="42" spans="1:7" s="32" customFormat="1" x14ac:dyDescent="0.35">
      <c r="A42" s="40"/>
      <c r="B42" s="82" t="s">
        <v>60</v>
      </c>
      <c r="C42" s="83"/>
      <c r="D42" s="84"/>
      <c r="E42" s="82" t="s">
        <v>61</v>
      </c>
      <c r="F42" s="83"/>
      <c r="G42" s="92"/>
    </row>
    <row r="43" spans="1:7" s="32" customFormat="1" x14ac:dyDescent="0.35">
      <c r="A43" s="41"/>
      <c r="B43" s="45" t="s">
        <v>88</v>
      </c>
      <c r="C43" s="93" t="s">
        <v>85</v>
      </c>
      <c r="D43" s="94"/>
      <c r="E43" s="44" t="s">
        <v>88</v>
      </c>
      <c r="F43" s="93" t="s">
        <v>85</v>
      </c>
      <c r="G43" s="95"/>
    </row>
    <row r="44" spans="1:7" s="32" customFormat="1" x14ac:dyDescent="0.35">
      <c r="A44" s="41"/>
      <c r="B44" s="45" t="s">
        <v>89</v>
      </c>
      <c r="C44" s="79" t="s">
        <v>86</v>
      </c>
      <c r="D44" s="80"/>
      <c r="E44" s="44" t="s">
        <v>89</v>
      </c>
      <c r="F44" s="79" t="s">
        <v>86</v>
      </c>
      <c r="G44" s="81"/>
    </row>
    <row r="45" spans="1:7" s="32" customFormat="1" x14ac:dyDescent="0.35">
      <c r="A45" s="41"/>
      <c r="B45" s="45" t="s">
        <v>90</v>
      </c>
      <c r="C45" s="79" t="s">
        <v>62</v>
      </c>
      <c r="D45" s="80"/>
      <c r="E45" s="44" t="s">
        <v>90</v>
      </c>
      <c r="F45" s="79" t="s">
        <v>62</v>
      </c>
      <c r="G45" s="81"/>
    </row>
    <row r="46" spans="1:7" s="32" customFormat="1" ht="17" thickBot="1" x14ac:dyDescent="0.4">
      <c r="A46" s="42"/>
      <c r="B46" s="46" t="s">
        <v>91</v>
      </c>
      <c r="C46" s="99" t="s">
        <v>87</v>
      </c>
      <c r="D46" s="100"/>
      <c r="E46" s="47" t="s">
        <v>91</v>
      </c>
      <c r="F46" s="99" t="s">
        <v>87</v>
      </c>
      <c r="G46" s="101"/>
    </row>
    <row r="47" spans="1:7" ht="9.25" customHeight="1" x14ac:dyDescent="0.35"/>
    <row r="48" spans="1:7" x14ac:dyDescent="0.35">
      <c r="A48" s="88" t="s">
        <v>48</v>
      </c>
      <c r="B48" s="88"/>
      <c r="C48" s="88"/>
      <c r="D48" s="88"/>
      <c r="E48" s="88"/>
      <c r="F48" s="88"/>
      <c r="G48" s="88"/>
    </row>
    <row r="49" spans="1:2" x14ac:dyDescent="0.35">
      <c r="A49" s="85"/>
      <c r="B49" s="85"/>
    </row>
  </sheetData>
  <mergeCells count="40">
    <mergeCell ref="A49:B49"/>
    <mergeCell ref="A6:G6"/>
    <mergeCell ref="F28:G28"/>
    <mergeCell ref="F29:G29"/>
    <mergeCell ref="A48:G48"/>
    <mergeCell ref="A31:G31"/>
    <mergeCell ref="A36:G40"/>
    <mergeCell ref="A41:G41"/>
    <mergeCell ref="E42:G42"/>
    <mergeCell ref="C43:D43"/>
    <mergeCell ref="F43:G43"/>
    <mergeCell ref="A14:C14"/>
    <mergeCell ref="A15:C15"/>
    <mergeCell ref="A16:C16"/>
    <mergeCell ref="C46:D46"/>
    <mergeCell ref="F46:G46"/>
    <mergeCell ref="C44:D44"/>
    <mergeCell ref="F44:G44"/>
    <mergeCell ref="C45:D45"/>
    <mergeCell ref="F45:G45"/>
    <mergeCell ref="B42:D42"/>
    <mergeCell ref="D16:F16"/>
    <mergeCell ref="D22:F22"/>
    <mergeCell ref="A22:C22"/>
    <mergeCell ref="F13:G13"/>
    <mergeCell ref="A13:C13"/>
    <mergeCell ref="D13:E13"/>
    <mergeCell ref="D14:F14"/>
    <mergeCell ref="D15:F15"/>
    <mergeCell ref="A26:G26"/>
    <mergeCell ref="A17:C17"/>
    <mergeCell ref="A18:C18"/>
    <mergeCell ref="A19:C19"/>
    <mergeCell ref="A20:C20"/>
    <mergeCell ref="A21:C21"/>
    <mergeCell ref="A23:C23"/>
    <mergeCell ref="A24:C24"/>
    <mergeCell ref="A25:G25"/>
    <mergeCell ref="D23:F23"/>
    <mergeCell ref="D24:F24"/>
  </mergeCells>
  <pageMargins left="0.70866141732283472" right="0.27559055118110237" top="0.51181102362204722" bottom="0.74803149606299213" header="0.31496062992125984" footer="0.31496062992125984"/>
  <pageSetup paperSize="9" scale="81" orientation="portrait" r:id="rId1"/>
  <headerFooter>
    <oddHeader>&amp;R&amp;"Times New Roman,Bold"MEEC-QMS-PLA-PR01-F08</oddHeader>
    <oddFooter>&amp;L&amp;"Times New Roman,Italic"Ngày hiệu lực: 20/08/2024&amp;C&amp;"Times New Roman,Italic"Ban hành lần 01&amp;R&amp;"Times New Roman,Italic"Trang: &amp;P</oddFooter>
  </headerFooter>
  <colBreaks count="1" manualBreakCount="1">
    <brk id="7" max="1048575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00000000-0002-0000-0100-000000000000}">
          <x14:formula1>
            <xm:f>TONGHOP!$B$12:$B$44</xm:f>
          </x14:formula1>
          <xm:sqref>C4:C5</xm:sqref>
        </x14:dataValidation>
        <x14:dataValidation type="list" allowBlank="1" showInputMessage="1" showErrorMessage="1" xr:uid="{00000000-0002-0000-0100-000001000000}">
          <x14:formula1>
            <xm:f>TONGHOP!$S$12:$S$14</xm:f>
          </x14:formula1>
          <xm:sqref>B29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TONGHOP</vt:lpstr>
      <vt:lpstr>IN PHIEU</vt:lpstr>
      <vt:lpstr>'IN PHIEU'!Print_Area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Nguyet Nga</cp:lastModifiedBy>
  <cp:lastPrinted>2024-08-29T01:09:27Z</cp:lastPrinted>
  <dcterms:created xsi:type="dcterms:W3CDTF">2021-07-21T06:31:47Z</dcterms:created>
  <dcterms:modified xsi:type="dcterms:W3CDTF">2024-08-29T01:40:16Z</dcterms:modified>
</cp:coreProperties>
</file>